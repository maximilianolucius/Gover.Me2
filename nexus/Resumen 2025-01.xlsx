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<sst xmlns="http://schemas.openxmlformats.org/spreadsheetml/2006/main" count="104" uniqueCount="50">
  <si>
    <t xml:space="preserve">ENERO 2025</t>
  </si>
  <si>
    <t xml:space="preserve">TOTAL TURISMO EN ANDALUCÍA</t>
  </si>
  <si>
    <t xml:space="preserve">01_total_turistas_ene25.xlsx</t>
  </si>
  <si>
    <t xml:space="preserve">DATOS MENSUALES</t>
  </si>
  <si>
    <t xml:space="preserve">DATOS</t>
  </si>
  <si>
    <t xml:space="preserve">Número de viajeros en establecimientos hoteleros</t>
  </si>
  <si>
    <t xml:space="preserve">Número de pernoctaciones en establecimientos hoteleros</t>
  </si>
  <si>
    <t xml:space="preserve">Cuota (% sobre total pernoctaciones en España)</t>
  </si>
  <si>
    <t xml:space="preserve">Llegadas de pasajeros a aeropuertos andaluces</t>
  </si>
  <si>
    <t xml:space="preserve">Número de turistas (millones)</t>
  </si>
  <si>
    <t xml:space="preserve">Estancia Media (número de días)</t>
  </si>
  <si>
    <t xml:space="preserve">Gasto medio diario (euros)</t>
  </si>
  <si>
    <t xml:space="preserve">TURISMO ESPAÑOL EN ANDALUCÍA</t>
  </si>
  <si>
    <t xml:space="preserve">02_espanoles_ene25.xlsx</t>
  </si>
  <si>
    <t xml:space="preserve">SURGE DE AGREGAR</t>
  </si>
  <si>
    <t xml:space="preserve">TURISMO ANDALUZ EN ANDALUCÍA</t>
  </si>
  <si>
    <t xml:space="preserve">TURISMO RESTO ESPAÑA EN ANDALUCÍA</t>
  </si>
  <si>
    <t xml:space="preserve">Cuota (% sobre total pernoctaciones en Andalucía)</t>
  </si>
  <si>
    <t xml:space="preserve">Cuota (% sobre total turistas en Andalucía)</t>
  </si>
  <si>
    <t xml:space="preserve">03_andaluces_ene25.xlsx</t>
  </si>
  <si>
    <t xml:space="preserve">04_resto_espana_ene25.xlsx</t>
  </si>
  <si>
    <t xml:space="preserve">-</t>
  </si>
  <si>
    <t xml:space="preserve">TURISMO EXTRANJERO EN ANDALUCÍA</t>
  </si>
  <si>
    <t xml:space="preserve">05_extranjeros_ene25.xlsx</t>
  </si>
  <si>
    <t xml:space="preserve">OTROS MERCADOS EN ANDALUCÍA</t>
  </si>
  <si>
    <t xml:space="preserve">Austria</t>
  </si>
  <si>
    <t xml:space="preserve">Belgica</t>
  </si>
  <si>
    <t xml:space="preserve">Dinamarca</t>
  </si>
  <si>
    <t xml:space="preserve">Estados Unidos</t>
  </si>
  <si>
    <t xml:space="preserve">Finlandia</t>
  </si>
  <si>
    <t xml:space="preserve">Francia</t>
  </si>
  <si>
    <t xml:space="preserve">Grecia</t>
  </si>
  <si>
    <t xml:space="preserve">Irlanda</t>
  </si>
  <si>
    <t xml:space="preserve">Italia</t>
  </si>
  <si>
    <t xml:space="preserve">Japon</t>
  </si>
  <si>
    <t xml:space="preserve">Luxemburgo</t>
  </si>
  <si>
    <t xml:space="preserve">Noruega</t>
  </si>
  <si>
    <t xml:space="preserve">Paises Bajos</t>
  </si>
  <si>
    <t xml:space="preserve">Polonia</t>
  </si>
  <si>
    <t xml:space="preserve">Portugal</t>
  </si>
  <si>
    <t xml:space="preserve">Republica Checa</t>
  </si>
  <si>
    <t xml:space="preserve">Rusia</t>
  </si>
  <si>
    <t xml:space="preserve">Suecia</t>
  </si>
  <si>
    <t xml:space="preserve">Suiza</t>
  </si>
  <si>
    <t xml:space="preserve">Britanicos</t>
  </si>
  <si>
    <t xml:space="preserve">06_britanicos_ene25</t>
  </si>
  <si>
    <t xml:space="preserve">Alemanes</t>
  </si>
  <si>
    <t xml:space="preserve">España</t>
  </si>
  <si>
    <t xml:space="preserve">Total</t>
  </si>
  <si>
    <t xml:space="preserve">Tabla total!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</si>
</sst>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%"/>
    <numFmt numFmtId="168" formatCode="#,##0.0"/>
    <numFmt numFmtId="169" formatCode="#,##0.00"/>
    <numFmt numFmtId="170" formatCode="&quot;TRUE&quot;;&quot;TRUE&quot;;&quot;FALSE&quot;"/>
    <numFmt numFmtId="171" formatCode="General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name val="Source Sans Pro"/>
      <family val="0"/>
    </font>
    <font>
      <b val="true"/>
      <sz val="11"/>
      <color rgb="FFFFFFFF"/>
      <name val="Source Sans Pro"/>
      <family val="0"/>
      <charset val="1"/>
    </font>
    <font>
      <b val="true"/>
      <i val="true"/>
      <sz val="11"/>
      <color rgb="FFFFFFFF"/>
      <name val="Source Sans Pro"/>
      <family val="0"/>
      <charset val="1"/>
    </font>
    <font>
      <sz val="11"/>
      <name val="Source Sans Pro"/>
      <family val="0"/>
      <charset val="1"/>
    </font>
    <font>
      <sz val="11"/>
      <color rgb="FFC9211E"/>
      <name val="Source Sans Pro"/>
      <family val="0"/>
      <charset val="1"/>
    </font>
    <font>
      <b val="true"/>
      <sz val="20"/>
      <color rgb="FFC9211E"/>
      <name val="Source Sans Pro"/>
      <family val="0"/>
    </font>
    <font>
      <sz val="10"/>
      <name val="Source Sans Pro"/>
      <family val="0"/>
      <charset val="1"/>
    </font>
    <font>
      <b val="true"/>
      <sz val="10"/>
      <name val="Source Sans Pro"/>
      <family val="0"/>
      <charset val="1"/>
    </font>
    <font>
      <sz val="10"/>
      <color rgb="FFC9211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>
        <color rgb="FFFFFFFF"/>
      </right>
      <top/>
      <bottom style="thick">
        <color rgb="FFFFFFFF"/>
      </bottom>
      <diagonal/>
    </border>
    <border diagonalUp="false" diagonalDown="false"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 diagonalUp="false" diagonalDown="false"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 diagonalUp="false" diagonalDown="false">
      <left/>
      <right style="thin">
        <color rgb="FFFFFFFF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fals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3" borderId="3" xfId="19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3" borderId="3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7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3" xfId="19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0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I115"/>
  <sheetViews>
    <sheetView showFormulas="false" showGridLines="true" showRowColHeaders="true" showZeros="true" rightToLeft="false" tabSelected="true" showOutlineSymbols="true" defaultGridColor="true" view="normal" topLeftCell="A68" colorId="64" zoomScale="100" zoomScaleNormal="100" zoomScalePageLayoutView="100" workbookViewId="0">
      <selection pane="topLeft" activeCell="D113" activeCellId="0" sqref="D11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62.15"/>
    <col collapsed="false" customWidth="true" hidden="false" outlineLevel="0" max="3" min="3" style="0" width="12.68"/>
  </cols>
  <sheetData>
    <row r="1" customFormat="false" ht="24.45" hidden="false" customHeight="false" outlineLevel="0" collapsed="false">
      <c r="B1" s="1" t="s">
        <v>0</v>
      </c>
    </row>
    <row r="3" customFormat="false" ht="24.45" hidden="false" customHeight="false" outlineLevel="0" collapsed="false">
      <c r="B3" s="1" t="s">
        <v>1</v>
      </c>
      <c r="D3" s="0" t="s">
        <v>2</v>
      </c>
    </row>
    <row r="5" customFormat="false" ht="13.8" hidden="false" customHeight="false" outlineLevel="0" collapsed="false">
      <c r="B5" s="2" t="s">
        <v>3</v>
      </c>
      <c r="C5" s="3" t="s">
        <v>4</v>
      </c>
    </row>
    <row r="6" customFormat="false" ht="13.8" hidden="false" customHeight="false" outlineLevel="0" collapsed="false">
      <c r="B6" s="4" t="s">
        <v>5</v>
      </c>
      <c r="C6" s="5" t="n">
        <v>983971</v>
      </c>
    </row>
    <row r="7" customFormat="false" ht="13.8" hidden="false" customHeight="false" outlineLevel="0" collapsed="false">
      <c r="B7" s="4" t="s">
        <v>6</v>
      </c>
      <c r="C7" s="5" t="n">
        <v>2275127</v>
      </c>
    </row>
    <row r="8" customFormat="false" ht="13.8" hidden="false" customHeight="false" outlineLevel="0" collapsed="false">
      <c r="B8" s="4" t="s">
        <v>7</v>
      </c>
      <c r="C8" s="6" t="n">
        <v>0.134536939061066</v>
      </c>
    </row>
    <row r="9" customFormat="false" ht="13.8" hidden="false" customHeight="false" outlineLevel="0" collapsed="false">
      <c r="B9" s="4" t="s">
        <v>8</v>
      </c>
      <c r="C9" s="5" t="n">
        <v>1308358</v>
      </c>
    </row>
    <row r="10" customFormat="false" ht="13.8" hidden="false" customHeight="false" outlineLevel="0" collapsed="false">
      <c r="B10" s="4" t="s">
        <v>9</v>
      </c>
      <c r="C10" s="7" t="n">
        <v>7.18982410300753</v>
      </c>
    </row>
    <row r="11" customFormat="false" ht="13.8" hidden="false" customHeight="false" outlineLevel="0" collapsed="false">
      <c r="B11" s="4" t="s">
        <v>10</v>
      </c>
      <c r="C11" s="7" t="n">
        <v>5.179495129</v>
      </c>
    </row>
    <row r="12" customFormat="false" ht="13.8" hidden="false" customHeight="false" outlineLevel="0" collapsed="false">
      <c r="B12" s="4" t="s">
        <v>11</v>
      </c>
      <c r="C12" s="8" t="n">
        <v>82.944671799</v>
      </c>
    </row>
    <row r="16" customFormat="false" ht="24.45" hidden="false" customHeight="false" outlineLevel="0" collapsed="false">
      <c r="B16" s="1" t="s">
        <v>12</v>
      </c>
      <c r="D16" s="0" t="s">
        <v>13</v>
      </c>
      <c r="H16" s="1" t="s">
        <v>12</v>
      </c>
    </row>
    <row r="17" customFormat="false" ht="12.8" hidden="false" customHeight="false" outlineLevel="0" collapsed="false">
      <c r="H17" s="0" t="s">
        <v>14</v>
      </c>
    </row>
    <row r="18" customFormat="false" ht="24.45" hidden="false" customHeight="false" outlineLevel="0" collapsed="false">
      <c r="B18" s="9" t="s">
        <v>3</v>
      </c>
      <c r="C18" s="3" t="s">
        <v>4</v>
      </c>
      <c r="H18" s="1" t="s">
        <v>15</v>
      </c>
    </row>
    <row r="19" customFormat="false" ht="24.45" hidden="false" customHeight="false" outlineLevel="0" collapsed="false">
      <c r="B19" s="10" t="s">
        <v>5</v>
      </c>
      <c r="C19" s="5" t="n">
        <v>528371</v>
      </c>
      <c r="E19" s="0" t="n">
        <f aca="false">C34+C48</f>
        <v>528371</v>
      </c>
      <c r="H19" s="1" t="s">
        <v>16</v>
      </c>
    </row>
    <row r="20" customFormat="false" ht="13.8" hidden="false" customHeight="false" outlineLevel="0" collapsed="false">
      <c r="B20" s="10" t="s">
        <v>6</v>
      </c>
      <c r="C20" s="5" t="n">
        <v>979974</v>
      </c>
      <c r="E20" s="0" t="n">
        <f aca="false">C35+C49</f>
        <v>979974</v>
      </c>
    </row>
    <row r="21" customFormat="false" ht="13.8" hidden="false" customHeight="false" outlineLevel="0" collapsed="false">
      <c r="B21" s="10" t="s">
        <v>17</v>
      </c>
      <c r="C21" s="6" t="n">
        <v>0.170858595940955</v>
      </c>
    </row>
    <row r="22" customFormat="false" ht="13.8" hidden="false" customHeight="false" outlineLevel="0" collapsed="false">
      <c r="B22" s="10" t="s">
        <v>8</v>
      </c>
      <c r="C22" s="5" t="n">
        <v>423567</v>
      </c>
    </row>
    <row r="23" customFormat="false" ht="13.8" hidden="false" customHeight="false" outlineLevel="0" collapsed="false">
      <c r="B23" s="10" t="s">
        <v>9</v>
      </c>
      <c r="C23" s="7" t="n">
        <v>4.56145395269784</v>
      </c>
      <c r="E23" s="0" t="n">
        <f aca="false">C37+C52</f>
        <v>4.56145395269784</v>
      </c>
    </row>
    <row r="24" customFormat="false" ht="13.8" hidden="false" customHeight="false" outlineLevel="0" collapsed="false">
      <c r="B24" s="10" t="s">
        <v>18</v>
      </c>
      <c r="C24" s="6" t="n">
        <v>0.634431925920102</v>
      </c>
    </row>
    <row r="25" customFormat="false" ht="13.8" hidden="false" customHeight="false" outlineLevel="0" collapsed="false">
      <c r="B25" s="10" t="s">
        <v>10</v>
      </c>
      <c r="C25" s="7" t="n">
        <v>3.8559787389759</v>
      </c>
    </row>
    <row r="26" customFormat="false" ht="13.8" hidden="false" customHeight="false" outlineLevel="0" collapsed="false">
      <c r="B26" s="10" t="s">
        <v>11</v>
      </c>
      <c r="C26" s="8" t="n">
        <v>72.3482723412576</v>
      </c>
    </row>
    <row r="30" customFormat="false" ht="24.45" hidden="false" customHeight="false" outlineLevel="0" collapsed="false">
      <c r="B30" s="1" t="s">
        <v>15</v>
      </c>
      <c r="D30" s="0" t="s">
        <v>19</v>
      </c>
    </row>
    <row r="32" customFormat="false" ht="13.8" hidden="false" customHeight="false" outlineLevel="0" collapsed="false">
      <c r="B32" s="11" t="s">
        <v>3</v>
      </c>
      <c r="C32" s="12" t="s">
        <v>4</v>
      </c>
    </row>
    <row r="33" customFormat="false" ht="13.8" hidden="false" customHeight="false" outlineLevel="0" collapsed="false">
      <c r="B33" s="13"/>
      <c r="C33" s="13"/>
    </row>
    <row r="34" customFormat="false" ht="13.8" hidden="false" customHeight="false" outlineLevel="0" collapsed="false">
      <c r="B34" s="14" t="s">
        <v>5</v>
      </c>
      <c r="C34" s="15" t="n">
        <v>280162.4383</v>
      </c>
    </row>
    <row r="35" customFormat="false" ht="13.8" hidden="false" customHeight="false" outlineLevel="0" collapsed="false">
      <c r="B35" s="14" t="s">
        <v>6</v>
      </c>
      <c r="C35" s="15" t="n">
        <v>463148.8772</v>
      </c>
    </row>
    <row r="36" customFormat="false" ht="13.8" hidden="false" customHeight="false" outlineLevel="0" collapsed="false">
      <c r="B36" s="14" t="s">
        <v>17</v>
      </c>
      <c r="C36" s="16" t="n">
        <v>0.203570291455873</v>
      </c>
    </row>
    <row r="37" customFormat="false" ht="13.8" hidden="false" customHeight="false" outlineLevel="0" collapsed="false">
      <c r="B37" s="14" t="s">
        <v>9</v>
      </c>
      <c r="C37" s="17" t="n">
        <v>2.39642160160426</v>
      </c>
    </row>
    <row r="38" customFormat="false" ht="13.8" hidden="false" customHeight="false" outlineLevel="0" collapsed="false">
      <c r="B38" s="14" t="s">
        <v>18</v>
      </c>
      <c r="C38" s="16" t="n">
        <v>0.333307403250913</v>
      </c>
    </row>
    <row r="39" customFormat="false" ht="13.8" hidden="false" customHeight="false" outlineLevel="0" collapsed="false">
      <c r="B39" s="14" t="s">
        <v>10</v>
      </c>
      <c r="C39" s="17" t="n">
        <v>3.044877267</v>
      </c>
    </row>
    <row r="40" customFormat="false" ht="13.8" hidden="false" customHeight="false" outlineLevel="0" collapsed="false">
      <c r="B40" s="14" t="s">
        <v>11</v>
      </c>
      <c r="C40" s="18" t="n">
        <v>61.376433366</v>
      </c>
    </row>
    <row r="44" customFormat="false" ht="24.45" hidden="false" customHeight="false" outlineLevel="0" collapsed="false">
      <c r="B44" s="1" t="s">
        <v>16</v>
      </c>
      <c r="D44" s="0" t="s">
        <v>20</v>
      </c>
    </row>
    <row r="46" customFormat="false" ht="13.8" hidden="false" customHeight="false" outlineLevel="0" collapsed="false">
      <c r="B46" s="9" t="s">
        <v>3</v>
      </c>
      <c r="C46" s="3" t="s">
        <v>4</v>
      </c>
    </row>
    <row r="47" customFormat="false" ht="13.8" hidden="false" customHeight="false" outlineLevel="0" collapsed="false">
      <c r="B47" s="19"/>
      <c r="C47" s="20"/>
    </row>
    <row r="48" customFormat="false" ht="13.8" hidden="false" customHeight="false" outlineLevel="0" collapsed="false">
      <c r="B48" s="10" t="s">
        <v>5</v>
      </c>
      <c r="C48" s="5" t="n">
        <v>248208.5617</v>
      </c>
    </row>
    <row r="49" customFormat="false" ht="13.8" hidden="false" customHeight="false" outlineLevel="0" collapsed="false">
      <c r="B49" s="10" t="s">
        <v>6</v>
      </c>
      <c r="C49" s="5" t="n">
        <v>516825.1228</v>
      </c>
    </row>
    <row r="50" customFormat="false" ht="13.8" hidden="false" customHeight="false" outlineLevel="0" collapsed="false">
      <c r="B50" s="10" t="s">
        <v>17</v>
      </c>
      <c r="C50" s="6" t="n">
        <v>0.227162897416851</v>
      </c>
    </row>
    <row r="51" customFormat="false" ht="13.8" hidden="false" customHeight="false" outlineLevel="0" collapsed="false">
      <c r="B51" s="10" t="s">
        <v>8</v>
      </c>
      <c r="C51" s="5" t="s">
        <v>21</v>
      </c>
    </row>
    <row r="52" customFormat="false" ht="13.8" hidden="false" customHeight="false" outlineLevel="0" collapsed="false">
      <c r="B52" s="10" t="s">
        <v>9</v>
      </c>
      <c r="C52" s="7" t="n">
        <v>2.16503235109357</v>
      </c>
    </row>
    <row r="53" customFormat="false" ht="13.8" hidden="false" customHeight="false" outlineLevel="0" collapsed="false">
      <c r="B53" s="10" t="s">
        <v>18</v>
      </c>
      <c r="C53" s="6" t="n">
        <v>0.301124522669189</v>
      </c>
    </row>
    <row r="54" customFormat="false" ht="13.8" hidden="false" customHeight="false" outlineLevel="0" collapsed="false">
      <c r="B54" s="10" t="s">
        <v>10</v>
      </c>
      <c r="C54" s="7" t="n">
        <v>4.753767212</v>
      </c>
    </row>
    <row r="55" customFormat="false" ht="13.8" hidden="false" customHeight="false" outlineLevel="0" collapsed="false">
      <c r="B55" s="10" t="s">
        <v>11</v>
      </c>
      <c r="C55" s="8" t="n">
        <v>84.492733793</v>
      </c>
    </row>
    <row r="59" customFormat="false" ht="24.45" hidden="false" customHeight="false" outlineLevel="0" collapsed="false">
      <c r="B59" s="1" t="s">
        <v>22</v>
      </c>
      <c r="D59" s="0" t="s">
        <v>23</v>
      </c>
    </row>
    <row r="61" customFormat="false" ht="13.8" hidden="false" customHeight="false" outlineLevel="0" collapsed="false">
      <c r="B61" s="11" t="s">
        <v>3</v>
      </c>
      <c r="C61" s="12" t="s">
        <v>4</v>
      </c>
    </row>
    <row r="62" customFormat="false" ht="13.8" hidden="false" customHeight="false" outlineLevel="0" collapsed="false">
      <c r="B62" s="13"/>
      <c r="C62" s="13"/>
    </row>
    <row r="63" customFormat="false" ht="13.8" hidden="false" customHeight="false" outlineLevel="0" collapsed="false">
      <c r="B63" s="14" t="s">
        <v>5</v>
      </c>
      <c r="C63" s="15" t="n">
        <v>455600</v>
      </c>
    </row>
    <row r="64" customFormat="false" ht="13.8" hidden="false" customHeight="false" outlineLevel="0" collapsed="false">
      <c r="B64" s="14" t="s">
        <v>6</v>
      </c>
      <c r="C64" s="15" t="n">
        <v>1295152</v>
      </c>
    </row>
    <row r="65" customFormat="false" ht="13.8" hidden="false" customHeight="false" outlineLevel="0" collapsed="false">
      <c r="B65" s="14" t="s">
        <v>17</v>
      </c>
      <c r="C65" s="21" t="n">
        <v>0.115895061686967</v>
      </c>
      <c r="D65" s="0" t="n">
        <f aca="false">C64/C7</f>
        <v>0.56926580362327</v>
      </c>
    </row>
    <row r="66" customFormat="false" ht="13.8" hidden="false" customHeight="false" outlineLevel="0" collapsed="false">
      <c r="B66" s="14" t="s">
        <v>8</v>
      </c>
      <c r="C66" s="15" t="n">
        <v>884791</v>
      </c>
    </row>
    <row r="67" customFormat="false" ht="13.8" hidden="false" customHeight="false" outlineLevel="0" collapsed="false">
      <c r="B67" s="14" t="s">
        <v>9</v>
      </c>
      <c r="C67" s="17" t="n">
        <v>2.62837015030969</v>
      </c>
    </row>
    <row r="68" customFormat="false" ht="13.8" hidden="false" customHeight="false" outlineLevel="0" collapsed="false">
      <c r="B68" s="14" t="s">
        <v>18</v>
      </c>
      <c r="C68" s="16" t="n">
        <v>0.365568074079898</v>
      </c>
    </row>
    <row r="69" customFormat="false" ht="13.8" hidden="false" customHeight="false" outlineLevel="0" collapsed="false">
      <c r="B69" s="14" t="s">
        <v>10</v>
      </c>
      <c r="C69" s="17" t="n">
        <v>7.47641630831424</v>
      </c>
    </row>
    <row r="70" customFormat="false" ht="13.8" hidden="false" customHeight="false" outlineLevel="0" collapsed="false">
      <c r="B70" s="14" t="s">
        <v>11</v>
      </c>
      <c r="C70" s="18" t="n">
        <v>101.334390684092</v>
      </c>
    </row>
    <row r="74" customFormat="false" ht="24.45" hidden="false" customHeight="false" outlineLevel="0" collapsed="false">
      <c r="B74" s="1" t="s">
        <v>22</v>
      </c>
      <c r="D74" s="0" t="s">
        <v>23</v>
      </c>
    </row>
    <row r="76" customFormat="false" ht="13.8" hidden="false" customHeight="false" outlineLevel="0" collapsed="false">
      <c r="B76" s="11" t="s">
        <v>3</v>
      </c>
      <c r="C76" s="12" t="s">
        <v>4</v>
      </c>
    </row>
    <row r="77" customFormat="false" ht="13.8" hidden="false" customHeight="false" outlineLevel="0" collapsed="false">
      <c r="B77" s="13"/>
      <c r="C77" s="13"/>
    </row>
    <row r="78" customFormat="false" ht="13.8" hidden="false" customHeight="false" outlineLevel="0" collapsed="false">
      <c r="B78" s="14" t="s">
        <v>5</v>
      </c>
      <c r="C78" s="15" t="n">
        <v>455600</v>
      </c>
    </row>
    <row r="79" customFormat="false" ht="13.8" hidden="false" customHeight="false" outlineLevel="0" collapsed="false">
      <c r="B79" s="14" t="s">
        <v>6</v>
      </c>
      <c r="C79" s="15" t="n">
        <v>1295152</v>
      </c>
    </row>
    <row r="80" customFormat="false" ht="13.8" hidden="false" customHeight="false" outlineLevel="0" collapsed="false">
      <c r="B80" s="14" t="s">
        <v>17</v>
      </c>
      <c r="C80" s="21" t="n">
        <v>0.115895061686967</v>
      </c>
      <c r="D80" s="0" t="n">
        <f aca="false">C79/C22</f>
        <v>3.05772640455937</v>
      </c>
    </row>
    <row r="81" customFormat="false" ht="13.8" hidden="false" customHeight="false" outlineLevel="0" collapsed="false">
      <c r="B81" s="14" t="s">
        <v>8</v>
      </c>
      <c r="C81" s="15" t="n">
        <v>884791</v>
      </c>
    </row>
    <row r="82" customFormat="false" ht="13.8" hidden="false" customHeight="false" outlineLevel="0" collapsed="false">
      <c r="B82" s="14" t="s">
        <v>9</v>
      </c>
      <c r="C82" s="17" t="n">
        <v>2.62837015030969</v>
      </c>
    </row>
    <row r="83" customFormat="false" ht="13.8" hidden="false" customHeight="false" outlineLevel="0" collapsed="false">
      <c r="B83" s="14" t="s">
        <v>18</v>
      </c>
      <c r="C83" s="16" t="n">
        <v>0.365568074079898</v>
      </c>
    </row>
    <row r="84" customFormat="false" ht="13.8" hidden="false" customHeight="false" outlineLevel="0" collapsed="false">
      <c r="B84" s="14" t="s">
        <v>10</v>
      </c>
      <c r="C84" s="17" t="n">
        <v>7.47641630831424</v>
      </c>
    </row>
    <row r="85" customFormat="false" ht="13.8" hidden="false" customHeight="false" outlineLevel="0" collapsed="false">
      <c r="B85" s="14" t="s">
        <v>11</v>
      </c>
      <c r="C85" s="18" t="n">
        <v>101.334390684092</v>
      </c>
    </row>
    <row r="89" customFormat="false" ht="24.45" hidden="false" customHeight="false" outlineLevel="0" collapsed="false">
      <c r="B89" s="22" t="s">
        <v>24</v>
      </c>
    </row>
    <row r="91" customFormat="false" ht="13.8" hidden="false" customHeight="false" outlineLevel="0" collapsed="false">
      <c r="C91" s="14" t="s">
        <v>5</v>
      </c>
      <c r="D91" s="14" t="s">
        <v>6</v>
      </c>
    </row>
    <row r="92" customFormat="false" ht="12.8" hidden="false" customHeight="false" outlineLevel="0" collapsed="false">
      <c r="B92" s="23" t="s">
        <v>25</v>
      </c>
      <c r="C92" s="24" t="n">
        <v>3190</v>
      </c>
      <c r="D92" s="24" t="n">
        <v>9787</v>
      </c>
      <c r="E92" s="23"/>
      <c r="F92" s="25"/>
      <c r="I92" s="26"/>
    </row>
    <row r="93" customFormat="false" ht="12.8" hidden="false" customHeight="false" outlineLevel="0" collapsed="false">
      <c r="B93" s="23" t="s">
        <v>26</v>
      </c>
      <c r="C93" s="24" t="n">
        <v>10516</v>
      </c>
      <c r="D93" s="24" t="n">
        <v>42290</v>
      </c>
      <c r="E93" s="23"/>
      <c r="F93" s="25"/>
      <c r="I93" s="26"/>
    </row>
    <row r="94" customFormat="false" ht="12.8" hidden="false" customHeight="false" outlineLevel="0" collapsed="false">
      <c r="B94" s="23" t="s">
        <v>27</v>
      </c>
      <c r="C94" s="24" t="n">
        <v>6445</v>
      </c>
      <c r="D94" s="24" t="n">
        <v>23639</v>
      </c>
      <c r="E94" s="23"/>
      <c r="F94" s="25"/>
      <c r="I94" s="26"/>
    </row>
    <row r="95" customFormat="false" ht="12.8" hidden="false" customHeight="false" outlineLevel="0" collapsed="false">
      <c r="B95" s="23" t="s">
        <v>28</v>
      </c>
      <c r="C95" s="24" t="n">
        <v>29230</v>
      </c>
      <c r="D95" s="24" t="n">
        <v>72596</v>
      </c>
      <c r="E95" s="23"/>
      <c r="F95" s="25"/>
      <c r="I95" s="26"/>
    </row>
    <row r="96" customFormat="false" ht="12.8" hidden="false" customHeight="false" outlineLevel="0" collapsed="false">
      <c r="B96" s="23" t="s">
        <v>29</v>
      </c>
      <c r="C96" s="24" t="n">
        <v>4935</v>
      </c>
      <c r="D96" s="24" t="n">
        <v>32463</v>
      </c>
      <c r="E96" s="23"/>
      <c r="F96" s="25"/>
      <c r="I96" s="26"/>
    </row>
    <row r="97" customFormat="false" ht="12.8" hidden="false" customHeight="false" outlineLevel="0" collapsed="false">
      <c r="B97" s="23" t="s">
        <v>30</v>
      </c>
      <c r="C97" s="24" t="n">
        <v>30419</v>
      </c>
      <c r="D97" s="24" t="n">
        <v>74202</v>
      </c>
      <c r="E97" s="23"/>
      <c r="F97" s="25"/>
      <c r="I97" s="26"/>
    </row>
    <row r="98" customFormat="false" ht="12.8" hidden="false" customHeight="false" outlineLevel="0" collapsed="false">
      <c r="B98" s="23" t="s">
        <v>31</v>
      </c>
      <c r="C98" s="24" t="n">
        <v>926</v>
      </c>
      <c r="D98" s="24" t="n">
        <v>2347</v>
      </c>
      <c r="E98" s="23"/>
      <c r="F98" s="25"/>
      <c r="I98" s="26"/>
    </row>
    <row r="99" customFormat="false" ht="12.8" hidden="false" customHeight="false" outlineLevel="0" collapsed="false">
      <c r="B99" s="23" t="s">
        <v>32</v>
      </c>
      <c r="C99" s="24" t="n">
        <v>13803</v>
      </c>
      <c r="D99" s="24" t="n">
        <v>48153</v>
      </c>
      <c r="E99" s="23"/>
      <c r="F99" s="25"/>
      <c r="I99" s="26"/>
    </row>
    <row r="100" customFormat="false" ht="12.8" hidden="false" customHeight="false" outlineLevel="0" collapsed="false">
      <c r="B100" s="23" t="s">
        <v>33</v>
      </c>
      <c r="C100" s="24" t="n">
        <v>34386</v>
      </c>
      <c r="D100" s="24" t="n">
        <v>80365</v>
      </c>
      <c r="E100" s="23"/>
      <c r="F100" s="25"/>
      <c r="I100" s="26"/>
    </row>
    <row r="101" customFormat="false" ht="12.8" hidden="false" customHeight="false" outlineLevel="0" collapsed="false">
      <c r="B101" s="23" t="s">
        <v>34</v>
      </c>
      <c r="C101" s="24" t="n">
        <v>6142</v>
      </c>
      <c r="D101" s="24" t="n">
        <v>8467</v>
      </c>
      <c r="E101" s="23"/>
      <c r="F101" s="25"/>
      <c r="I101" s="26"/>
    </row>
    <row r="102" customFormat="false" ht="12.8" hidden="false" customHeight="false" outlineLevel="0" collapsed="false">
      <c r="B102" s="23" t="s">
        <v>35</v>
      </c>
      <c r="C102" s="24" t="n">
        <v>1002</v>
      </c>
      <c r="D102" s="24" t="n">
        <v>4145</v>
      </c>
      <c r="E102" s="23"/>
      <c r="F102" s="25"/>
      <c r="I102" s="26"/>
    </row>
    <row r="103" customFormat="false" ht="12.8" hidden="false" customHeight="false" outlineLevel="0" collapsed="false">
      <c r="B103" s="23" t="s">
        <v>36</v>
      </c>
      <c r="C103" s="24" t="n">
        <v>5110</v>
      </c>
      <c r="D103" s="24" t="n">
        <v>22957</v>
      </c>
      <c r="E103" s="23"/>
      <c r="F103" s="25"/>
      <c r="I103" s="26"/>
    </row>
    <row r="104" customFormat="false" ht="12.8" hidden="false" customHeight="false" outlineLevel="0" collapsed="false">
      <c r="B104" s="23" t="s">
        <v>37</v>
      </c>
      <c r="C104" s="24" t="n">
        <v>30368</v>
      </c>
      <c r="D104" s="24" t="n">
        <v>100930</v>
      </c>
      <c r="E104" s="23"/>
      <c r="F104" s="25"/>
      <c r="I104" s="26"/>
    </row>
    <row r="105" customFormat="false" ht="12.8" hidden="false" customHeight="false" outlineLevel="0" collapsed="false">
      <c r="B105" s="23" t="s">
        <v>38</v>
      </c>
      <c r="C105" s="24" t="n">
        <v>9867</v>
      </c>
      <c r="D105" s="24" t="n">
        <v>30381</v>
      </c>
      <c r="E105" s="23"/>
      <c r="F105" s="25"/>
      <c r="I105" s="26"/>
    </row>
    <row r="106" customFormat="false" ht="12.8" hidden="false" customHeight="false" outlineLevel="0" collapsed="false">
      <c r="B106" s="23" t="s">
        <v>39</v>
      </c>
      <c r="C106" s="24" t="n">
        <v>16586</v>
      </c>
      <c r="D106" s="24" t="n">
        <v>33139</v>
      </c>
      <c r="E106" s="23"/>
      <c r="F106" s="25"/>
      <c r="I106" s="26"/>
    </row>
    <row r="107" customFormat="false" ht="12.8" hidden="false" customHeight="false" outlineLevel="0" collapsed="false">
      <c r="B107" s="23" t="s">
        <v>40</v>
      </c>
      <c r="C107" s="24" t="n">
        <v>2674</v>
      </c>
      <c r="D107" s="24" t="n">
        <v>6620</v>
      </c>
      <c r="E107" s="23"/>
      <c r="F107" s="25"/>
      <c r="I107" s="26"/>
    </row>
    <row r="108" customFormat="false" ht="12.8" hidden="false" customHeight="false" outlineLevel="0" collapsed="false">
      <c r="B108" s="23" t="s">
        <v>41</v>
      </c>
      <c r="C108" s="24" t="n">
        <v>3363</v>
      </c>
      <c r="D108" s="24" t="n">
        <v>7514</v>
      </c>
      <c r="E108" s="23"/>
      <c r="F108" s="25"/>
      <c r="I108" s="26"/>
    </row>
    <row r="109" customFormat="false" ht="12.8" hidden="false" customHeight="false" outlineLevel="0" collapsed="false">
      <c r="B109" s="23" t="s">
        <v>42</v>
      </c>
      <c r="C109" s="24" t="n">
        <v>7928</v>
      </c>
      <c r="D109" s="24" t="n">
        <v>33083</v>
      </c>
      <c r="E109" s="23"/>
      <c r="F109" s="25"/>
      <c r="I109" s="26"/>
    </row>
    <row r="110" customFormat="false" ht="12.8" hidden="false" customHeight="false" outlineLevel="0" collapsed="false">
      <c r="B110" s="23" t="s">
        <v>43</v>
      </c>
      <c r="C110" s="24" t="n">
        <v>4762</v>
      </c>
      <c r="D110" s="24" t="n">
        <v>14239</v>
      </c>
      <c r="E110" s="23"/>
      <c r="F110" s="25"/>
      <c r="I110" s="26"/>
    </row>
    <row r="111" customFormat="false" ht="13.8" hidden="false" customHeight="false" outlineLevel="0" collapsed="false">
      <c r="B111" s="0" t="s">
        <v>44</v>
      </c>
      <c r="C111" s="15" t="n">
        <v>49837</v>
      </c>
      <c r="D111" s="15" t="n">
        <v>213230</v>
      </c>
      <c r="G111" s="0" t="s">
        <v>45</v>
      </c>
    </row>
    <row r="112" customFormat="false" ht="13.8" hidden="false" customHeight="false" outlineLevel="0" collapsed="false">
      <c r="B112" s="0" t="s">
        <v>46</v>
      </c>
      <c r="C112" s="15" t="n">
        <v>25760</v>
      </c>
      <c r="D112" s="15" t="n">
        <v>98627</v>
      </c>
    </row>
    <row r="113" customFormat="false" ht="12.8" hidden="false" customHeight="false" outlineLevel="0" collapsed="false">
      <c r="B113" s="0" t="s">
        <v>47</v>
      </c>
      <c r="C113" s="0" t="n">
        <f aca="false">C19</f>
        <v>528371</v>
      </c>
      <c r="D113" s="27" t="n">
        <f aca="false">C20</f>
        <v>979974</v>
      </c>
    </row>
    <row r="114" customFormat="false" ht="12.8" hidden="false" customHeight="false" outlineLevel="0" collapsed="false">
      <c r="C114" s="28" t="n">
        <f aca="false">SUM(C92:C113)</f>
        <v>825620</v>
      </c>
      <c r="D114" s="28" t="n">
        <f aca="false">SUM(D92:D113)</f>
        <v>1939148</v>
      </c>
      <c r="E114" s="0" t="s">
        <v>48</v>
      </c>
    </row>
    <row r="115" customFormat="false" ht="12.8" hidden="false" customHeight="false" outlineLevel="0" collapsed="false">
      <c r="C115" s="0" t="n">
        <f aca="false">C6</f>
        <v>983971</v>
      </c>
      <c r="D115" s="0" t="n">
        <f aca="false">C7</f>
        <v>2275127</v>
      </c>
      <c r="E115" s="0" t="s">
        <v>49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2025-09-15T11:44:35Z</dcterms:created>
  <dc:creator/>
  <dc:description/>
  <dc:language>en-US</dc:language>
  <cp:lastModifiedBy/>
  <dcterms:modified xsi:type="dcterms:W3CDTF">2025-09-15T12:09:59Z</dcterms:modified>
  <cp:revision>3</cp:revision>
  <dc:subject/>
  <dc:title/>
</cp:coreProperties>
</file>